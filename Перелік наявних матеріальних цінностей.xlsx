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DESKTOP-6KR0DT6\Local\database\Склад\"/>
    </mc:Choice>
  </mc:AlternateContent>
  <xr:revisionPtr revIDLastSave="0" documentId="13_ncr:1_{21971DC8-F859-4752-AF30-8181F29CD59F}" xr6:coauthVersionLast="45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Лист1 (2)" sheetId="6" r:id="rId1"/>
    <sheet name="Лист1" sheetId="1" r:id="rId2"/>
    <sheet name="Лист2" sheetId="4" r:id="rId3"/>
    <sheet name="Продано 31.05" sheetId="3" r:id="rId4"/>
    <sheet name="Солопа Олександр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20" i="6" l="1"/>
  <c r="I19" i="6"/>
  <c r="I18" i="6"/>
  <c r="I17" i="6"/>
  <c r="I16" i="6"/>
  <c r="I14" i="6"/>
  <c r="I13" i="6"/>
  <c r="I12" i="6"/>
  <c r="I11" i="6"/>
  <c r="I10" i="6"/>
  <c r="I9" i="6"/>
  <c r="I8" i="6"/>
  <c r="I7" i="6"/>
  <c r="I6" i="6"/>
  <c r="I5" i="6"/>
  <c r="I4" i="6"/>
  <c r="I15" i="6"/>
  <c r="F7" i="3" l="1"/>
  <c r="F6" i="3"/>
  <c r="F5" i="3"/>
  <c r="F4" i="3"/>
  <c r="F8" i="3" l="1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K19" i="1" l="1"/>
  <c r="M19" i="1" s="1"/>
  <c r="K15" i="1"/>
  <c r="M15" i="1" s="1"/>
  <c r="K11" i="1"/>
  <c r="M11" i="1" s="1"/>
  <c r="K6" i="1"/>
  <c r="M6" i="1" s="1"/>
  <c r="K5" i="1"/>
  <c r="M5" i="1" s="1"/>
  <c r="I7" i="1"/>
  <c r="K7" i="1" s="1"/>
  <c r="M7" i="1" s="1"/>
  <c r="I5" i="1"/>
  <c r="I20" i="1"/>
  <c r="K20" i="1" s="1"/>
  <c r="M20" i="1" s="1"/>
  <c r="I19" i="1"/>
  <c r="I18" i="1"/>
  <c r="K18" i="1" s="1"/>
  <c r="M18" i="1" s="1"/>
  <c r="I17" i="1"/>
  <c r="K17" i="1" s="1"/>
  <c r="M17" i="1" s="1"/>
  <c r="I16" i="1"/>
  <c r="K16" i="1" s="1"/>
  <c r="I15" i="1"/>
  <c r="I14" i="1"/>
  <c r="K14" i="1" s="1"/>
  <c r="M14" i="1" s="1"/>
  <c r="I13" i="1"/>
  <c r="K13" i="1" s="1"/>
  <c r="M13" i="1" s="1"/>
  <c r="I12" i="1"/>
  <c r="K12" i="1" s="1"/>
  <c r="M12" i="1" s="1"/>
  <c r="I11" i="1"/>
  <c r="I10" i="1"/>
  <c r="K10" i="1" s="1"/>
  <c r="M10" i="1" s="1"/>
  <c r="I9" i="1"/>
  <c r="K9" i="1" s="1"/>
  <c r="M9" i="1" s="1"/>
  <c r="I8" i="1"/>
  <c r="K8" i="1" s="1"/>
  <c r="M8" i="1" s="1"/>
  <c r="I6" i="1"/>
  <c r="I4" i="1"/>
  <c r="K4" i="1" s="1"/>
  <c r="M4" i="1" s="1"/>
</calcChain>
</file>

<file path=xl/sharedStrings.xml><?xml version="1.0" encoding="utf-8"?>
<sst xmlns="http://schemas.openxmlformats.org/spreadsheetml/2006/main" count="211" uniqueCount="54">
  <si>
    <t>№</t>
  </si>
  <si>
    <t xml:space="preserve">Дата </t>
  </si>
  <si>
    <t>Група</t>
  </si>
  <si>
    <t xml:space="preserve">Найменування </t>
  </si>
  <si>
    <t>Од.вим.</t>
  </si>
  <si>
    <t>Поступило</t>
  </si>
  <si>
    <t>Витрачено</t>
  </si>
  <si>
    <t>Залишок</t>
  </si>
  <si>
    <t>Кріплення панелей</t>
  </si>
  <si>
    <t>шт</t>
  </si>
  <si>
    <t>Перелік матеріальних цінностей, що знаходяться на складі компанії "СоларГласс"</t>
  </si>
  <si>
    <t>Спецгайка</t>
  </si>
  <si>
    <t xml:space="preserve">Елементи конструкції </t>
  </si>
  <si>
    <t xml:space="preserve">Профіль оцинкований перфорований </t>
  </si>
  <si>
    <t>м.п.</t>
  </si>
  <si>
    <t>Болт М8 35 мм</t>
  </si>
  <si>
    <t>Болт М10 для з'єднання профілю</t>
  </si>
  <si>
    <t>Шпилька для монтажу на дах</t>
  </si>
  <si>
    <t xml:space="preserve">Гайка з фланцем М10 </t>
  </si>
  <si>
    <t>Шайба прорезинена М10</t>
  </si>
  <si>
    <t>Пластина для з'єднування шпильки з профілем</t>
  </si>
  <si>
    <t>З'єднувач для профілю</t>
  </si>
  <si>
    <t>Гровер М10</t>
  </si>
  <si>
    <t xml:space="preserve">Кабель сонячний </t>
  </si>
  <si>
    <t xml:space="preserve">Комутація панелей </t>
  </si>
  <si>
    <t xml:space="preserve">Конектори </t>
  </si>
  <si>
    <t>Прижим крайній 35х60 мм</t>
  </si>
  <si>
    <t>Прижим міжпанельний 35х60 мм</t>
  </si>
  <si>
    <t>Пластина підпанельна 60х60 мм</t>
  </si>
  <si>
    <t>Прижим крайній 35х40 мм</t>
  </si>
  <si>
    <t>Прижим міжпанельний 35х40 мм</t>
  </si>
  <si>
    <t xml:space="preserve">Матеріали на монтаж панелей с. Руська Поляна, Солопа Олександр </t>
  </si>
  <si>
    <t>Отримано</t>
  </si>
  <si>
    <t>Умань</t>
  </si>
  <si>
    <t>Солопа</t>
  </si>
  <si>
    <t xml:space="preserve">Товари </t>
  </si>
  <si>
    <t>К-ть</t>
  </si>
  <si>
    <t>Од</t>
  </si>
  <si>
    <t>Ціна</t>
  </si>
  <si>
    <t>Сума</t>
  </si>
  <si>
    <t>Прижим крайній h-30мм</t>
  </si>
  <si>
    <t>Прижим міжпанельний h-30мм</t>
  </si>
  <si>
    <t>Болт М8 під шестигранник</t>
  </si>
  <si>
    <t>Всього</t>
  </si>
  <si>
    <t>Перелік профілю для виконання монтажних робіт с. Леськи</t>
  </si>
  <si>
    <t>Найменування</t>
  </si>
  <si>
    <t>К-ть, шт</t>
  </si>
  <si>
    <t>Розмір</t>
  </si>
  <si>
    <t xml:space="preserve">Профіль </t>
  </si>
  <si>
    <t>36 м</t>
  </si>
  <si>
    <t>1,3 м</t>
  </si>
  <si>
    <t>2,5 м</t>
  </si>
  <si>
    <t>4,7 м</t>
  </si>
  <si>
    <t>2 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</si>
</sst>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charset val="204"/>
      <scheme val="minor"/>
    </font>
    <font>
      <sz val="14"/>
      <color theme="1"/>
      <name val="Times New Roman"/>
      <family val="1"/>
    </font>
    <font>
      <sz val="14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theme="1"/>
      <name val="Times New Roman"/>
      <family val="1"/>
    </font>
    <font>
      <b/>
      <sz val="14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6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0" fillId="0" borderId="0" xfId="0" applyBorder="1"/>
    <xf numFmtId="0" fontId="2" fillId="0" borderId="0" xfId="0" applyFont="1" applyBorder="1" applyAlignment="1">
      <alignment horizontal="center" vertical="center"/>
    </xf>
    <xf numFmtId="14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6" fillId="0" borderId="0" xfId="0" applyNumberFormat="1" applyFont="1"/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4" xfId="0" applyBorder="1"/>
    <xf numFmtId="0" fontId="7" fillId="0" borderId="0" xfId="0" applyFont="1" applyAlignment="1"/>
    <xf numFmtId="0" fontId="4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left"/>
    </xf>
    <xf numFmtId="0" fontId="0" fillId="0" borderId="0" xfId="0" applyFont="1" applyAlignment="1">
      <alignment horizontal="center" wrapText="1"/>
    </xf>
    <xf numFmtId="0" fontId="0" fillId="0" borderId="3" xfId="0" applyBorder="1" applyAlignment="1">
      <alignment horizontal="center"/>
    </xf>
    <xf numFmtId="0" fontId="1" fillId="0" borderId="0" xfId="0" applyFont="1" applyAlignment="1">
      <alignment horizontal="left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5AFF0-DE89-48AB-996F-825CC2592A13}">
  <sheetPr>
    <pageSetUpPr fitToPage="1"/>
  </sheetPr>
  <dimension ref="A1:I56"/>
  <sheetViews>
    <sheetView tabSelected="1" topLeftCell="B1" zoomScale="82" zoomScaleNormal="82" workbookViewId="0">
      <selection activeCell="G19" sqref="G19"/>
    </sheetView>
  </sheetViews>
  <sheetFormatPr defaultColWidth="11" defaultRowHeight="15.75" x14ac:dyDescent="0.25"/>
  <cols>
    <col min="1" max="1" width="0.875" hidden="1" customWidth="1"/>
    <col min="2" max="2" width="4.375" customWidth="1"/>
    <col min="3" max="3" width="11.625" customWidth="1"/>
    <col min="4" max="4" width="23.5" customWidth="1"/>
    <col min="5" max="5" width="49.375" customWidth="1"/>
    <col min="6" max="6" width="9.625" customWidth="1"/>
  </cols>
  <sheetData>
    <row r="1" spans="2:9" ht="16.5" customHeight="1" x14ac:dyDescent="0.3">
      <c r="B1" s="29" t="s">
        <v>10</v>
      </c>
      <c r="C1" s="29"/>
      <c r="D1" s="29"/>
      <c r="E1" s="29"/>
      <c r="F1" s="29"/>
      <c r="G1" s="29"/>
      <c r="H1" s="29"/>
      <c r="I1" s="29"/>
    </row>
    <row r="2" spans="2:9" x14ac:dyDescent="0.25">
      <c r="H2" s="28"/>
    </row>
    <row r="3" spans="2:9" ht="18.75" x14ac:dyDescent="0.25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17" t="s">
        <v>6</v>
      </c>
      <c r="I3" s="2" t="s">
        <v>7</v>
      </c>
    </row>
    <row r="4" spans="2:9" ht="18.75" x14ac:dyDescent="0.25">
      <c r="B4" s="2">
        <v>1</v>
      </c>
      <c r="C4" s="3">
        <v>44672</v>
      </c>
      <c r="D4" s="4" t="s">
        <v>8</v>
      </c>
      <c r="E4" s="4" t="s">
        <v>26</v>
      </c>
      <c r="F4" s="2" t="s">
        <v>9</v>
      </c>
      <c r="G4" s="2">
        <v>37</v>
      </c>
      <c r="H4" s="17"/>
      <c r="I4" s="2">
        <f t="shared" ref="I4:I14" si="0">G4-H4</f>
        <v>37</v>
      </c>
    </row>
    <row r="5" spans="2:9" ht="18.75" x14ac:dyDescent="0.25">
      <c r="B5" s="2">
        <v>2</v>
      </c>
      <c r="C5" s="3">
        <v>44672</v>
      </c>
      <c r="D5" s="4" t="s">
        <v>8</v>
      </c>
      <c r="E5" s="4" t="s">
        <v>29</v>
      </c>
      <c r="F5" s="2" t="s">
        <v>9</v>
      </c>
      <c r="G5" s="2">
        <v>158</v>
      </c>
      <c r="H5" s="17"/>
      <c r="I5" s="2">
        <f t="shared" si="0"/>
        <v>158</v>
      </c>
    </row>
    <row r="6" spans="2:9" ht="18.75" x14ac:dyDescent="0.25">
      <c r="B6" s="2">
        <v>3</v>
      </c>
      <c r="C6" s="3">
        <v>44672</v>
      </c>
      <c r="D6" s="4" t="s">
        <v>8</v>
      </c>
      <c r="E6" s="4" t="s">
        <v>27</v>
      </c>
      <c r="F6" s="2" t="s">
        <v>9</v>
      </c>
      <c r="G6" s="2">
        <v>20</v>
      </c>
      <c r="H6" s="17"/>
      <c r="I6" s="2">
        <f t="shared" si="0"/>
        <v>20</v>
      </c>
    </row>
    <row r="7" spans="2:9" ht="18.75" x14ac:dyDescent="0.25">
      <c r="B7" s="2">
        <v>4</v>
      </c>
      <c r="C7" s="3">
        <v>44672</v>
      </c>
      <c r="D7" s="4" t="s">
        <v>8</v>
      </c>
      <c r="E7" s="4" t="s">
        <v>30</v>
      </c>
      <c r="F7" s="2" t="s">
        <v>9</v>
      </c>
      <c r="G7" s="2">
        <v>32</v>
      </c>
      <c r="H7" s="17"/>
      <c r="I7" s="2">
        <f t="shared" si="0"/>
        <v>32</v>
      </c>
    </row>
    <row r="8" spans="2:9" ht="18.75" x14ac:dyDescent="0.25">
      <c r="B8" s="2">
        <v>3</v>
      </c>
      <c r="C8" s="3">
        <v>44672</v>
      </c>
      <c r="D8" s="4" t="s">
        <v>8</v>
      </c>
      <c r="E8" s="4" t="s">
        <v>28</v>
      </c>
      <c r="F8" s="2" t="s">
        <v>9</v>
      </c>
      <c r="G8" s="2">
        <v>81</v>
      </c>
      <c r="H8" s="17">
        <v>0</v>
      </c>
      <c r="I8" s="2">
        <f t="shared" si="0"/>
        <v>81</v>
      </c>
    </row>
    <row r="9" spans="2:9" ht="18.75" x14ac:dyDescent="0.25">
      <c r="B9" s="2">
        <v>4</v>
      </c>
      <c r="C9" s="3">
        <v>44672</v>
      </c>
      <c r="D9" s="4" t="s">
        <v>8</v>
      </c>
      <c r="E9" s="4" t="s">
        <v>15</v>
      </c>
      <c r="F9" s="2" t="s">
        <v>9</v>
      </c>
      <c r="G9" s="2">
        <v>0</v>
      </c>
      <c r="H9" s="17"/>
      <c r="I9" s="2">
        <f t="shared" si="0"/>
        <v>0</v>
      </c>
    </row>
    <row r="10" spans="2:9" ht="18.75" x14ac:dyDescent="0.25">
      <c r="B10" s="2">
        <v>5</v>
      </c>
      <c r="C10" s="3">
        <v>44672</v>
      </c>
      <c r="D10" s="4" t="s">
        <v>8</v>
      </c>
      <c r="E10" s="4" t="s">
        <v>11</v>
      </c>
      <c r="F10" s="2" t="s">
        <v>9</v>
      </c>
      <c r="G10" s="2">
        <v>51</v>
      </c>
      <c r="H10" s="17"/>
      <c r="I10" s="2">
        <f t="shared" si="0"/>
        <v>51</v>
      </c>
    </row>
    <row r="11" spans="2:9" ht="18.75" x14ac:dyDescent="0.25">
      <c r="B11" s="2">
        <v>6</v>
      </c>
      <c r="C11" s="3">
        <v>44672</v>
      </c>
      <c r="D11" s="4" t="s">
        <v>12</v>
      </c>
      <c r="E11" s="4" t="s">
        <v>13</v>
      </c>
      <c r="F11" s="2" t="s">
        <v>14</v>
      </c>
      <c r="G11" s="2">
        <v>0</v>
      </c>
      <c r="H11" s="17"/>
      <c r="I11" s="2">
        <f t="shared" si="0"/>
        <v>0</v>
      </c>
    </row>
    <row r="12" spans="2:9" ht="18.75" x14ac:dyDescent="0.25">
      <c r="B12" s="2">
        <v>7</v>
      </c>
      <c r="C12" s="3">
        <v>44672</v>
      </c>
      <c r="D12" s="4" t="s">
        <v>12</v>
      </c>
      <c r="E12" s="4" t="s">
        <v>21</v>
      </c>
      <c r="F12" s="2" t="s">
        <v>9</v>
      </c>
      <c r="G12" s="2">
        <v>2</v>
      </c>
      <c r="H12" s="17"/>
      <c r="I12" s="2">
        <f t="shared" si="0"/>
        <v>2</v>
      </c>
    </row>
    <row r="13" spans="2:9" ht="18.75" x14ac:dyDescent="0.25">
      <c r="B13" s="2">
        <v>8</v>
      </c>
      <c r="C13" s="3">
        <v>44672</v>
      </c>
      <c r="D13" s="4" t="s">
        <v>12</v>
      </c>
      <c r="E13" s="4" t="s">
        <v>16</v>
      </c>
      <c r="F13" s="2" t="s">
        <v>9</v>
      </c>
      <c r="G13" s="2">
        <v>0</v>
      </c>
      <c r="H13" s="17"/>
      <c r="I13" s="2">
        <f t="shared" si="0"/>
        <v>0</v>
      </c>
    </row>
    <row r="14" spans="2:9" ht="18.75" x14ac:dyDescent="0.25">
      <c r="B14" s="2">
        <v>9</v>
      </c>
      <c r="C14" s="3">
        <v>44672</v>
      </c>
      <c r="D14" s="4" t="s">
        <v>12</v>
      </c>
      <c r="E14" s="4" t="s">
        <v>22</v>
      </c>
      <c r="F14" s="2" t="s">
        <v>9</v>
      </c>
      <c r="G14" s="2">
        <v>0</v>
      </c>
      <c r="H14" s="17"/>
      <c r="I14" s="2">
        <f t="shared" si="0"/>
        <v>0</v>
      </c>
    </row>
    <row r="15" spans="2:9" ht="18.75" x14ac:dyDescent="0.25">
      <c r="B15" s="2">
        <v>10</v>
      </c>
      <c r="C15" s="3">
        <v>44672</v>
      </c>
      <c r="D15" s="4" t="s">
        <v>12</v>
      </c>
      <c r="E15" s="4" t="s">
        <v>17</v>
      </c>
      <c r="F15" s="2" t="s">
        <v>9</v>
      </c>
      <c r="G15" s="2">
        <v>200</v>
      </c>
      <c r="H15" s="17"/>
      <c r="I15" s="2">
        <f>G15-H15</f>
        <v>200</v>
      </c>
    </row>
    <row r="16" spans="2:9" ht="18.75" x14ac:dyDescent="0.25">
      <c r="B16" s="2">
        <v>11</v>
      </c>
      <c r="C16" s="3">
        <v>44672</v>
      </c>
      <c r="D16" s="4" t="s">
        <v>12</v>
      </c>
      <c r="E16" s="4" t="s">
        <v>18</v>
      </c>
      <c r="F16" s="2" t="s">
        <v>9</v>
      </c>
      <c r="G16" s="2">
        <v>600</v>
      </c>
      <c r="H16" s="17"/>
      <c r="I16" s="2">
        <f t="shared" ref="I16:I20" si="1">G16-H16</f>
        <v>600</v>
      </c>
    </row>
    <row r="17" spans="1:9" ht="18.75" x14ac:dyDescent="0.25">
      <c r="B17" s="2">
        <v>11</v>
      </c>
      <c r="C17" s="3">
        <v>44672</v>
      </c>
      <c r="D17" s="4" t="s">
        <v>12</v>
      </c>
      <c r="E17" s="4" t="s">
        <v>19</v>
      </c>
      <c r="F17" s="2" t="s">
        <v>9</v>
      </c>
      <c r="G17" s="2">
        <v>200</v>
      </c>
      <c r="H17" s="17"/>
      <c r="I17" s="2">
        <f t="shared" si="1"/>
        <v>200</v>
      </c>
    </row>
    <row r="18" spans="1:9" ht="18.75" x14ac:dyDescent="0.25">
      <c r="B18" s="2">
        <v>12</v>
      </c>
      <c r="C18" s="3">
        <v>44672</v>
      </c>
      <c r="D18" s="4" t="s">
        <v>12</v>
      </c>
      <c r="E18" s="4" t="s">
        <v>20</v>
      </c>
      <c r="F18" s="2" t="s">
        <v>9</v>
      </c>
      <c r="G18" s="2">
        <v>40</v>
      </c>
      <c r="H18" s="17"/>
      <c r="I18" s="2">
        <f t="shared" si="1"/>
        <v>40</v>
      </c>
    </row>
    <row r="19" spans="1:9" ht="18.75" x14ac:dyDescent="0.25">
      <c r="B19" s="2">
        <v>13</v>
      </c>
      <c r="C19" s="3">
        <v>44672</v>
      </c>
      <c r="D19" s="4" t="s">
        <v>24</v>
      </c>
      <c r="E19" s="4" t="s">
        <v>23</v>
      </c>
      <c r="F19" s="2" t="s">
        <v>14</v>
      </c>
      <c r="G19" s="2">
        <v>200</v>
      </c>
      <c r="H19" s="17"/>
      <c r="I19" s="2">
        <f t="shared" si="1"/>
        <v>200</v>
      </c>
    </row>
    <row r="20" spans="1:9" ht="18.75" x14ac:dyDescent="0.25">
      <c r="B20" s="2">
        <v>14</v>
      </c>
      <c r="C20" s="3">
        <v>44672</v>
      </c>
      <c r="D20" s="4" t="s">
        <v>24</v>
      </c>
      <c r="E20" s="4" t="s">
        <v>25</v>
      </c>
      <c r="F20" s="2" t="s">
        <v>9</v>
      </c>
      <c r="G20" s="2">
        <v>5</v>
      </c>
      <c r="H20" s="17"/>
      <c r="I20" s="2">
        <f t="shared" si="1"/>
        <v>5</v>
      </c>
    </row>
    <row r="21" spans="1:9" ht="18.75" x14ac:dyDescent="0.25">
      <c r="B21" s="2">
        <v>15</v>
      </c>
      <c r="C21" s="3"/>
      <c r="D21" s="9"/>
      <c r="E21" s="9"/>
      <c r="F21" s="2"/>
      <c r="G21" s="2"/>
      <c r="H21" s="2"/>
      <c r="I21" s="2"/>
    </row>
    <row r="22" spans="1:9" ht="18.75" x14ac:dyDescent="0.25">
      <c r="B22" s="2">
        <v>16</v>
      </c>
      <c r="C22" s="3"/>
      <c r="D22" s="9"/>
      <c r="E22" s="9"/>
      <c r="F22" s="2"/>
      <c r="G22" s="2"/>
      <c r="H22" s="2"/>
      <c r="I22" s="2"/>
    </row>
    <row r="23" spans="1:9" ht="18.75" x14ac:dyDescent="0.25">
      <c r="B23" s="5">
        <v>17</v>
      </c>
      <c r="C23" s="6"/>
      <c r="D23" s="10"/>
      <c r="E23" s="10"/>
      <c r="F23" s="5"/>
      <c r="G23" s="5"/>
      <c r="H23" s="5"/>
      <c r="I23" s="5"/>
    </row>
    <row r="24" spans="1:9" x14ac:dyDescent="0.25">
      <c r="A24" s="1"/>
      <c r="B24" s="7">
        <v>18</v>
      </c>
      <c r="C24" s="7"/>
      <c r="D24" s="8"/>
      <c r="E24" s="8"/>
      <c r="F24" s="7"/>
      <c r="G24" s="7"/>
      <c r="H24" s="7"/>
      <c r="I24" s="7"/>
    </row>
    <row r="25" spans="1:9" x14ac:dyDescent="0.25">
      <c r="A25" s="1"/>
      <c r="B25" s="7">
        <v>19</v>
      </c>
      <c r="C25" s="7"/>
      <c r="D25" s="8"/>
      <c r="E25" s="8"/>
      <c r="F25" s="7"/>
      <c r="G25" s="7"/>
      <c r="H25" s="7"/>
      <c r="I25" s="7"/>
    </row>
    <row r="26" spans="1:9" x14ac:dyDescent="0.25">
      <c r="A26" s="1"/>
      <c r="B26" s="7">
        <v>20</v>
      </c>
      <c r="C26" s="7"/>
      <c r="D26" s="8"/>
      <c r="E26" s="8"/>
      <c r="F26" s="7"/>
      <c r="G26" s="7"/>
      <c r="H26" s="7"/>
      <c r="I26" s="7"/>
    </row>
    <row r="27" spans="1:9" x14ac:dyDescent="0.25">
      <c r="A27" s="1"/>
      <c r="B27" s="7">
        <v>21</v>
      </c>
      <c r="C27" s="7"/>
      <c r="D27" s="8"/>
      <c r="E27" s="8"/>
      <c r="F27" s="7"/>
      <c r="G27" s="7"/>
      <c r="H27" s="7"/>
      <c r="I27" s="7"/>
    </row>
    <row r="28" spans="1:9" x14ac:dyDescent="0.25">
      <c r="A28" s="1"/>
      <c r="B28" s="7">
        <v>22</v>
      </c>
      <c r="C28" s="7"/>
      <c r="D28" s="8"/>
      <c r="E28" s="8"/>
      <c r="F28" s="7"/>
      <c r="G28" s="7"/>
      <c r="H28" s="7"/>
      <c r="I28" s="7"/>
    </row>
    <row r="29" spans="1:9" x14ac:dyDescent="0.25">
      <c r="A29" s="1"/>
      <c r="B29" s="7">
        <v>23</v>
      </c>
      <c r="C29" s="7"/>
      <c r="D29" s="8"/>
      <c r="E29" s="8"/>
      <c r="F29" s="7"/>
      <c r="G29" s="7"/>
      <c r="H29" s="7"/>
      <c r="I29" s="7"/>
    </row>
    <row r="41" spans="2:9" ht="18.75" x14ac:dyDescent="0.3">
      <c r="B41" s="30"/>
      <c r="C41" s="30"/>
      <c r="D41" s="30"/>
      <c r="E41" s="30"/>
      <c r="F41" s="11"/>
      <c r="G41" s="11"/>
      <c r="H41" s="11"/>
      <c r="I41" s="11"/>
    </row>
    <row r="42" spans="2:9" x14ac:dyDescent="0.25">
      <c r="B42" s="11"/>
      <c r="C42" s="11"/>
      <c r="D42" s="11"/>
      <c r="E42" s="11"/>
      <c r="F42" s="11"/>
      <c r="G42" s="11"/>
      <c r="H42" s="11"/>
      <c r="I42" s="11"/>
    </row>
    <row r="43" spans="2:9" ht="18.75" x14ac:dyDescent="0.25">
      <c r="B43" s="12"/>
      <c r="C43" s="12"/>
      <c r="D43" s="12"/>
      <c r="E43" s="12"/>
      <c r="F43" s="12"/>
      <c r="G43" s="12"/>
      <c r="H43" s="12"/>
      <c r="I43" s="12"/>
    </row>
    <row r="44" spans="2:9" ht="18.75" x14ac:dyDescent="0.25">
      <c r="B44" s="12"/>
      <c r="C44" s="3" t="s">
        <v>0</v>
      </c>
      <c r="D44" s="4" t="s">
        <v>35</v>
      </c>
      <c r="E44" s="4" t="s">
        <v>36</v>
      </c>
      <c r="F44" s="2"/>
      <c r="G44" s="12"/>
      <c r="H44" s="12"/>
      <c r="I44" s="12"/>
    </row>
    <row r="45" spans="2:9" ht="18.75" x14ac:dyDescent="0.25">
      <c r="B45" s="12"/>
      <c r="C45" s="3"/>
      <c r="D45" s="4"/>
      <c r="E45" s="4"/>
      <c r="F45" s="2"/>
      <c r="G45" s="12"/>
      <c r="H45" s="12"/>
      <c r="I45" s="12"/>
    </row>
    <row r="46" spans="2:9" ht="18.75" x14ac:dyDescent="0.25">
      <c r="B46" s="12"/>
      <c r="C46" s="3"/>
      <c r="D46" s="4"/>
      <c r="E46" s="4"/>
      <c r="F46" s="2"/>
      <c r="G46" s="12"/>
      <c r="H46" s="12"/>
      <c r="I46" s="12"/>
    </row>
    <row r="47" spans="2:9" ht="18.75" x14ac:dyDescent="0.25">
      <c r="B47" s="12"/>
      <c r="C47" s="3"/>
      <c r="D47" s="4"/>
      <c r="E47" s="4"/>
      <c r="F47" s="2"/>
      <c r="G47" s="12"/>
      <c r="H47" s="12"/>
      <c r="I47" s="12"/>
    </row>
    <row r="48" spans="2:9" ht="18.75" x14ac:dyDescent="0.25">
      <c r="B48" s="12"/>
      <c r="C48" s="3"/>
      <c r="D48" s="4"/>
      <c r="E48" s="4"/>
      <c r="F48" s="2"/>
      <c r="G48" s="12"/>
      <c r="H48" s="12"/>
      <c r="I48" s="12"/>
    </row>
    <row r="49" spans="2:9" ht="18.75" x14ac:dyDescent="0.25">
      <c r="B49" s="12"/>
      <c r="C49" s="3"/>
      <c r="D49" s="4"/>
      <c r="E49" s="4"/>
      <c r="F49" s="2"/>
      <c r="G49" s="12"/>
      <c r="H49" s="12"/>
      <c r="I49" s="12"/>
    </row>
    <row r="50" spans="2:9" ht="18.75" x14ac:dyDescent="0.25">
      <c r="B50" s="12"/>
      <c r="C50" s="3"/>
      <c r="D50" s="4"/>
      <c r="E50" s="4"/>
      <c r="F50" s="2"/>
      <c r="G50" s="12"/>
      <c r="H50" s="12"/>
      <c r="I50" s="12"/>
    </row>
    <row r="51" spans="2:9" ht="18.75" x14ac:dyDescent="0.25">
      <c r="B51" s="12"/>
      <c r="C51" s="3"/>
      <c r="D51" s="4"/>
      <c r="E51" s="4"/>
      <c r="F51" s="2"/>
      <c r="G51" s="12"/>
      <c r="H51" s="12"/>
      <c r="I51" s="12"/>
    </row>
    <row r="52" spans="2:9" ht="18.75" x14ac:dyDescent="0.25">
      <c r="B52" s="12"/>
      <c r="C52" s="3"/>
      <c r="D52" s="4"/>
      <c r="E52" s="4"/>
      <c r="F52" s="2"/>
      <c r="G52" s="12"/>
      <c r="H52" s="12"/>
      <c r="I52" s="12"/>
    </row>
    <row r="53" spans="2:9" ht="18.75" x14ac:dyDescent="0.25">
      <c r="B53" s="12"/>
      <c r="C53" s="3"/>
      <c r="D53" s="4"/>
      <c r="E53" s="4"/>
      <c r="F53" s="2"/>
      <c r="G53" s="12"/>
      <c r="H53" s="12"/>
      <c r="I53" s="12"/>
    </row>
    <row r="54" spans="2:9" ht="18.75" x14ac:dyDescent="0.25">
      <c r="B54" s="12"/>
      <c r="C54" s="3"/>
      <c r="D54" s="4"/>
      <c r="E54" s="4"/>
      <c r="F54" s="2"/>
      <c r="G54" s="12"/>
      <c r="H54" s="12"/>
      <c r="I54" s="12"/>
    </row>
    <row r="55" spans="2:9" ht="18.75" x14ac:dyDescent="0.25">
      <c r="B55" s="12"/>
      <c r="C55" s="3"/>
      <c r="D55" s="4"/>
      <c r="E55" s="4"/>
      <c r="F55" s="2"/>
      <c r="G55" s="12"/>
      <c r="H55" s="12"/>
      <c r="I55" s="12"/>
    </row>
    <row r="56" spans="2:9" ht="18.75" x14ac:dyDescent="0.25">
      <c r="B56" s="12"/>
      <c r="C56" s="13"/>
      <c r="D56" s="14"/>
      <c r="E56" s="14"/>
      <c r="F56" s="12"/>
      <c r="G56" s="12"/>
      <c r="H56" s="12"/>
      <c r="I56" s="12"/>
    </row>
  </sheetData>
  <mergeCells count="2">
    <mergeCell ref="B1:I1"/>
    <mergeCell ref="B41:E41"/>
  </mergeCells>
  <pageMargins left="0.25" right="0.25" top="0.75" bottom="0.75" header="0.3" footer="0.3"/>
  <pageSetup paperSize="9" scale="94" orientation="landscape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56"/>
  <sheetViews>
    <sheetView topLeftCell="B1" zoomScale="82" zoomScaleNormal="82" workbookViewId="0">
      <selection activeCell="M20" sqref="A1:M20"/>
    </sheetView>
  </sheetViews>
  <sheetFormatPr defaultColWidth="11" defaultRowHeight="15.75" x14ac:dyDescent="0.25"/>
  <cols>
    <col min="1" max="1" width="0.875" hidden="1" customWidth="1"/>
    <col min="2" max="2" width="4.375" customWidth="1"/>
    <col min="3" max="3" width="11.625" customWidth="1"/>
    <col min="4" max="4" width="23.5" customWidth="1"/>
    <col min="5" max="5" width="49.375" customWidth="1"/>
    <col min="6" max="6" width="9.625" customWidth="1"/>
  </cols>
  <sheetData>
    <row r="1" spans="2:13" ht="16.5" customHeight="1" x14ac:dyDescent="0.3">
      <c r="B1" s="29" t="s">
        <v>10</v>
      </c>
      <c r="C1" s="29"/>
      <c r="D1" s="29"/>
      <c r="E1" s="29"/>
      <c r="F1" s="29"/>
      <c r="G1" s="29"/>
      <c r="H1" s="29"/>
      <c r="I1" s="29"/>
    </row>
    <row r="2" spans="2:13" x14ac:dyDescent="0.25">
      <c r="H2" s="16" t="s">
        <v>34</v>
      </c>
      <c r="J2" s="16" t="s">
        <v>33</v>
      </c>
      <c r="L2" s="16" t="s">
        <v>34</v>
      </c>
    </row>
    <row r="3" spans="2:13" ht="18.75" x14ac:dyDescent="0.25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17" t="s">
        <v>6</v>
      </c>
      <c r="I3" s="2" t="s">
        <v>7</v>
      </c>
      <c r="J3" s="17" t="s">
        <v>6</v>
      </c>
      <c r="K3" s="2" t="s">
        <v>7</v>
      </c>
      <c r="L3" s="17" t="s">
        <v>5</v>
      </c>
      <c r="M3" s="2" t="s">
        <v>7</v>
      </c>
    </row>
    <row r="4" spans="2:13" ht="18.75" x14ac:dyDescent="0.25">
      <c r="B4" s="2">
        <v>1</v>
      </c>
      <c r="C4" s="3">
        <v>44672</v>
      </c>
      <c r="D4" s="4" t="s">
        <v>8</v>
      </c>
      <c r="E4" s="4" t="s">
        <v>26</v>
      </c>
      <c r="F4" s="2" t="s">
        <v>9</v>
      </c>
      <c r="G4" s="2">
        <v>132</v>
      </c>
      <c r="H4" s="17">
        <v>28</v>
      </c>
      <c r="I4" s="2">
        <f>G4-H4</f>
        <v>104</v>
      </c>
      <c r="J4" s="18">
        <v>12</v>
      </c>
      <c r="K4" s="15">
        <f>I4-J4</f>
        <v>92</v>
      </c>
      <c r="L4" s="17">
        <v>0</v>
      </c>
      <c r="M4" s="2">
        <f>K4+L4</f>
        <v>92</v>
      </c>
    </row>
    <row r="5" spans="2:13" ht="18.75" x14ac:dyDescent="0.25">
      <c r="B5" s="2">
        <v>2</v>
      </c>
      <c r="C5" s="3">
        <v>44672</v>
      </c>
      <c r="D5" s="4" t="s">
        <v>8</v>
      </c>
      <c r="E5" s="4" t="s">
        <v>29</v>
      </c>
      <c r="F5" s="2" t="s">
        <v>9</v>
      </c>
      <c r="G5" s="2">
        <v>158</v>
      </c>
      <c r="H5" s="17"/>
      <c r="I5" s="2">
        <f>G5-H5</f>
        <v>158</v>
      </c>
      <c r="J5" s="18">
        <v>0</v>
      </c>
      <c r="K5" s="15">
        <f t="shared" ref="K5:K20" si="0">I5-J5</f>
        <v>158</v>
      </c>
      <c r="L5" s="17"/>
      <c r="M5" s="2">
        <f t="shared" ref="M5:M20" si="1">K5+L5</f>
        <v>158</v>
      </c>
    </row>
    <row r="6" spans="2:13" ht="18.75" x14ac:dyDescent="0.25">
      <c r="B6" s="2">
        <v>3</v>
      </c>
      <c r="C6" s="3">
        <v>44672</v>
      </c>
      <c r="D6" s="4" t="s">
        <v>8</v>
      </c>
      <c r="E6" s="4" t="s">
        <v>27</v>
      </c>
      <c r="F6" s="2" t="s">
        <v>9</v>
      </c>
      <c r="G6" s="2">
        <v>152</v>
      </c>
      <c r="H6" s="17">
        <v>12</v>
      </c>
      <c r="I6" s="2">
        <f t="shared" ref="I6:I20" si="2">G6-H6</f>
        <v>140</v>
      </c>
      <c r="J6" s="18">
        <v>12</v>
      </c>
      <c r="K6" s="15">
        <f t="shared" si="0"/>
        <v>128</v>
      </c>
      <c r="L6" s="17">
        <v>15</v>
      </c>
      <c r="M6" s="2">
        <f t="shared" si="1"/>
        <v>143</v>
      </c>
    </row>
    <row r="7" spans="2:13" ht="18.75" x14ac:dyDescent="0.25">
      <c r="B7" s="2">
        <v>4</v>
      </c>
      <c r="C7" s="3">
        <v>44672</v>
      </c>
      <c r="D7" s="4" t="s">
        <v>8</v>
      </c>
      <c r="E7" s="4" t="s">
        <v>30</v>
      </c>
      <c r="F7" s="2" t="s">
        <v>9</v>
      </c>
      <c r="G7" s="2">
        <v>32</v>
      </c>
      <c r="H7" s="17"/>
      <c r="I7" s="2">
        <f t="shared" ref="I7" si="3">G7-H7</f>
        <v>32</v>
      </c>
      <c r="J7" s="18">
        <v>0</v>
      </c>
      <c r="K7" s="15">
        <f t="shared" si="0"/>
        <v>32</v>
      </c>
      <c r="L7" s="17"/>
      <c r="M7" s="2">
        <f t="shared" si="1"/>
        <v>32</v>
      </c>
    </row>
    <row r="8" spans="2:13" ht="18.75" x14ac:dyDescent="0.25">
      <c r="B8" s="2">
        <v>3</v>
      </c>
      <c r="C8" s="3">
        <v>44672</v>
      </c>
      <c r="D8" s="4" t="s">
        <v>8</v>
      </c>
      <c r="E8" s="4" t="s">
        <v>28</v>
      </c>
      <c r="F8" s="2" t="s">
        <v>9</v>
      </c>
      <c r="G8" s="2">
        <v>132</v>
      </c>
      <c r="H8" s="17">
        <v>40</v>
      </c>
      <c r="I8" s="2">
        <f t="shared" si="2"/>
        <v>92</v>
      </c>
      <c r="J8" s="18">
        <v>24</v>
      </c>
      <c r="K8" s="15">
        <f t="shared" si="0"/>
        <v>68</v>
      </c>
      <c r="L8" s="17">
        <v>15</v>
      </c>
      <c r="M8" s="2">
        <f t="shared" si="1"/>
        <v>83</v>
      </c>
    </row>
    <row r="9" spans="2:13" ht="18.75" x14ac:dyDescent="0.25">
      <c r="B9" s="2">
        <v>4</v>
      </c>
      <c r="C9" s="3">
        <v>44672</v>
      </c>
      <c r="D9" s="4" t="s">
        <v>8</v>
      </c>
      <c r="E9" s="4" t="s">
        <v>15</v>
      </c>
      <c r="F9" s="2" t="s">
        <v>9</v>
      </c>
      <c r="G9" s="2">
        <v>40</v>
      </c>
      <c r="H9" s="17">
        <v>40</v>
      </c>
      <c r="I9" s="2">
        <f t="shared" si="2"/>
        <v>0</v>
      </c>
      <c r="J9" s="18"/>
      <c r="K9" s="15">
        <f t="shared" si="0"/>
        <v>0</v>
      </c>
      <c r="L9" s="17">
        <v>16</v>
      </c>
      <c r="M9" s="2">
        <f t="shared" si="1"/>
        <v>16</v>
      </c>
    </row>
    <row r="10" spans="2:13" ht="18.75" x14ac:dyDescent="0.25">
      <c r="B10" s="2">
        <v>5</v>
      </c>
      <c r="C10" s="3">
        <v>44672</v>
      </c>
      <c r="D10" s="4" t="s">
        <v>8</v>
      </c>
      <c r="E10" s="4" t="s">
        <v>11</v>
      </c>
      <c r="F10" s="2" t="s">
        <v>9</v>
      </c>
      <c r="G10" s="2">
        <v>200</v>
      </c>
      <c r="H10" s="17">
        <v>64</v>
      </c>
      <c r="I10" s="2">
        <f t="shared" si="2"/>
        <v>136</v>
      </c>
      <c r="J10" s="18"/>
      <c r="K10" s="15">
        <f t="shared" si="0"/>
        <v>136</v>
      </c>
      <c r="L10" s="17">
        <v>12</v>
      </c>
      <c r="M10" s="2">
        <f t="shared" si="1"/>
        <v>148</v>
      </c>
    </row>
    <row r="11" spans="2:13" ht="18.75" x14ac:dyDescent="0.25">
      <c r="B11" s="2">
        <v>6</v>
      </c>
      <c r="C11" s="3">
        <v>44672</v>
      </c>
      <c r="D11" s="4" t="s">
        <v>12</v>
      </c>
      <c r="E11" s="4" t="s">
        <v>13</v>
      </c>
      <c r="F11" s="2" t="s">
        <v>14</v>
      </c>
      <c r="G11" s="2">
        <v>0</v>
      </c>
      <c r="H11" s="17"/>
      <c r="I11" s="2">
        <f t="shared" si="2"/>
        <v>0</v>
      </c>
      <c r="J11" s="18"/>
      <c r="K11" s="15">
        <f t="shared" si="0"/>
        <v>0</v>
      </c>
      <c r="L11" s="17"/>
      <c r="M11" s="2">
        <f t="shared" si="1"/>
        <v>0</v>
      </c>
    </row>
    <row r="12" spans="2:13" ht="18.75" x14ac:dyDescent="0.25">
      <c r="B12" s="2">
        <v>7</v>
      </c>
      <c r="C12" s="3">
        <v>44672</v>
      </c>
      <c r="D12" s="4" t="s">
        <v>12</v>
      </c>
      <c r="E12" s="4" t="s">
        <v>21</v>
      </c>
      <c r="F12" s="2" t="s">
        <v>9</v>
      </c>
      <c r="G12" s="2">
        <v>10</v>
      </c>
      <c r="H12" s="17">
        <v>10</v>
      </c>
      <c r="I12" s="2">
        <f t="shared" si="2"/>
        <v>0</v>
      </c>
      <c r="J12" s="18"/>
      <c r="K12" s="15">
        <f t="shared" si="0"/>
        <v>0</v>
      </c>
      <c r="L12" s="17">
        <v>6</v>
      </c>
      <c r="M12" s="2">
        <f t="shared" si="1"/>
        <v>6</v>
      </c>
    </row>
    <row r="13" spans="2:13" ht="18.75" x14ac:dyDescent="0.25">
      <c r="B13" s="2">
        <v>8</v>
      </c>
      <c r="C13" s="3">
        <v>44672</v>
      </c>
      <c r="D13" s="4" t="s">
        <v>12</v>
      </c>
      <c r="E13" s="4" t="s">
        <v>16</v>
      </c>
      <c r="F13" s="2" t="s">
        <v>9</v>
      </c>
      <c r="G13" s="2">
        <v>90</v>
      </c>
      <c r="H13" s="17">
        <v>87</v>
      </c>
      <c r="I13" s="2">
        <f t="shared" si="2"/>
        <v>3</v>
      </c>
      <c r="J13" s="18"/>
      <c r="K13" s="15">
        <f t="shared" si="0"/>
        <v>3</v>
      </c>
      <c r="L13" s="17">
        <v>50</v>
      </c>
      <c r="M13" s="2">
        <f t="shared" si="1"/>
        <v>53</v>
      </c>
    </row>
    <row r="14" spans="2:13" ht="18.75" x14ac:dyDescent="0.25">
      <c r="B14" s="2">
        <v>9</v>
      </c>
      <c r="C14" s="3">
        <v>44672</v>
      </c>
      <c r="D14" s="4" t="s">
        <v>12</v>
      </c>
      <c r="E14" s="4" t="s">
        <v>22</v>
      </c>
      <c r="F14" s="2" t="s">
        <v>9</v>
      </c>
      <c r="G14" s="2">
        <v>0</v>
      </c>
      <c r="H14" s="17"/>
      <c r="I14" s="2">
        <f t="shared" si="2"/>
        <v>0</v>
      </c>
      <c r="J14" s="18"/>
      <c r="K14" s="15">
        <f t="shared" si="0"/>
        <v>0</v>
      </c>
      <c r="L14" s="17"/>
      <c r="M14" s="2">
        <f t="shared" si="1"/>
        <v>0</v>
      </c>
    </row>
    <row r="15" spans="2:13" ht="18.75" x14ac:dyDescent="0.25">
      <c r="B15" s="2">
        <v>10</v>
      </c>
      <c r="C15" s="3">
        <v>44672</v>
      </c>
      <c r="D15" s="4" t="s">
        <v>12</v>
      </c>
      <c r="E15" s="4" t="s">
        <v>17</v>
      </c>
      <c r="F15" s="2" t="s">
        <v>9</v>
      </c>
      <c r="G15" s="2"/>
      <c r="H15" s="17">
        <v>39</v>
      </c>
      <c r="I15" s="2">
        <f t="shared" si="2"/>
        <v>-39</v>
      </c>
      <c r="J15" s="18"/>
      <c r="K15" s="15">
        <f t="shared" si="0"/>
        <v>-39</v>
      </c>
      <c r="L15" s="17">
        <v>39</v>
      </c>
      <c r="M15" s="2">
        <f t="shared" si="1"/>
        <v>0</v>
      </c>
    </row>
    <row r="16" spans="2:13" ht="18.75" x14ac:dyDescent="0.25">
      <c r="B16" s="2">
        <v>11</v>
      </c>
      <c r="C16" s="3">
        <v>44672</v>
      </c>
      <c r="D16" s="4" t="s">
        <v>12</v>
      </c>
      <c r="E16" s="4" t="s">
        <v>18</v>
      </c>
      <c r="F16" s="2" t="s">
        <v>9</v>
      </c>
      <c r="G16" s="2"/>
      <c r="H16" s="17">
        <v>207</v>
      </c>
      <c r="I16" s="2">
        <f t="shared" si="2"/>
        <v>-207</v>
      </c>
      <c r="J16" s="18"/>
      <c r="K16" s="15">
        <f t="shared" si="0"/>
        <v>-207</v>
      </c>
      <c r="L16" s="17">
        <v>50</v>
      </c>
      <c r="M16" s="2">
        <v>50</v>
      </c>
    </row>
    <row r="17" spans="1:13" ht="18.75" x14ac:dyDescent="0.25">
      <c r="B17" s="2">
        <v>11</v>
      </c>
      <c r="C17" s="3">
        <v>44672</v>
      </c>
      <c r="D17" s="4" t="s">
        <v>12</v>
      </c>
      <c r="E17" s="4" t="s">
        <v>19</v>
      </c>
      <c r="F17" s="2" t="s">
        <v>9</v>
      </c>
      <c r="G17" s="2"/>
      <c r="H17" s="17">
        <v>39</v>
      </c>
      <c r="I17" s="2">
        <f t="shared" si="2"/>
        <v>-39</v>
      </c>
      <c r="J17" s="18"/>
      <c r="K17" s="15">
        <f t="shared" si="0"/>
        <v>-39</v>
      </c>
      <c r="L17" s="17">
        <v>39</v>
      </c>
      <c r="M17" s="2">
        <f t="shared" si="1"/>
        <v>0</v>
      </c>
    </row>
    <row r="18" spans="1:13" ht="18.75" x14ac:dyDescent="0.25">
      <c r="B18" s="2">
        <v>12</v>
      </c>
      <c r="C18" s="3">
        <v>44672</v>
      </c>
      <c r="D18" s="4" t="s">
        <v>12</v>
      </c>
      <c r="E18" s="4" t="s">
        <v>20</v>
      </c>
      <c r="F18" s="2" t="s">
        <v>9</v>
      </c>
      <c r="G18" s="2">
        <v>54</v>
      </c>
      <c r="H18" s="17">
        <v>39</v>
      </c>
      <c r="I18" s="2">
        <f t="shared" si="2"/>
        <v>15</v>
      </c>
      <c r="J18" s="18"/>
      <c r="K18" s="15">
        <f t="shared" si="0"/>
        <v>15</v>
      </c>
      <c r="L18" s="17"/>
      <c r="M18" s="2">
        <f t="shared" si="1"/>
        <v>15</v>
      </c>
    </row>
    <row r="19" spans="1:13" ht="18.75" x14ac:dyDescent="0.25">
      <c r="B19" s="2">
        <v>13</v>
      </c>
      <c r="C19" s="3">
        <v>44672</v>
      </c>
      <c r="D19" s="4" t="s">
        <v>24</v>
      </c>
      <c r="E19" s="4" t="s">
        <v>23</v>
      </c>
      <c r="F19" s="2" t="s">
        <v>14</v>
      </c>
      <c r="G19" s="2"/>
      <c r="H19" s="17"/>
      <c r="I19" s="2">
        <f t="shared" si="2"/>
        <v>0</v>
      </c>
      <c r="J19" s="18"/>
      <c r="K19" s="15">
        <f t="shared" si="0"/>
        <v>0</v>
      </c>
      <c r="L19" s="17"/>
      <c r="M19" s="2">
        <f t="shared" si="1"/>
        <v>0</v>
      </c>
    </row>
    <row r="20" spans="1:13" ht="18.75" x14ac:dyDescent="0.25">
      <c r="B20" s="2">
        <v>14</v>
      </c>
      <c r="C20" s="3">
        <v>44672</v>
      </c>
      <c r="D20" s="4" t="s">
        <v>24</v>
      </c>
      <c r="E20" s="4" t="s">
        <v>25</v>
      </c>
      <c r="F20" s="2" t="s">
        <v>9</v>
      </c>
      <c r="G20" s="2"/>
      <c r="H20" s="17"/>
      <c r="I20" s="2">
        <f t="shared" si="2"/>
        <v>0</v>
      </c>
      <c r="J20" s="18"/>
      <c r="K20" s="15">
        <f t="shared" si="0"/>
        <v>0</v>
      </c>
      <c r="L20" s="17"/>
      <c r="M20" s="2">
        <f t="shared" si="1"/>
        <v>0</v>
      </c>
    </row>
    <row r="21" spans="1:13" ht="18.75" x14ac:dyDescent="0.25">
      <c r="B21" s="2">
        <v>15</v>
      </c>
      <c r="C21" s="3"/>
      <c r="D21" s="9"/>
      <c r="E21" s="9"/>
      <c r="F21" s="2"/>
      <c r="G21" s="2"/>
      <c r="H21" s="2"/>
      <c r="I21" s="2"/>
    </row>
    <row r="22" spans="1:13" ht="18.75" x14ac:dyDescent="0.25">
      <c r="B22" s="2">
        <v>16</v>
      </c>
      <c r="C22" s="3"/>
      <c r="D22" s="9"/>
      <c r="E22" s="9"/>
      <c r="F22" s="2"/>
      <c r="G22" s="2"/>
      <c r="H22" s="2"/>
      <c r="I22" s="2"/>
    </row>
    <row r="23" spans="1:13" ht="18.75" x14ac:dyDescent="0.25">
      <c r="B23" s="5">
        <v>17</v>
      </c>
      <c r="C23" s="6"/>
      <c r="D23" s="10"/>
      <c r="E23" s="10"/>
      <c r="F23" s="5"/>
      <c r="G23" s="5"/>
      <c r="H23" s="5"/>
      <c r="I23" s="5"/>
    </row>
    <row r="24" spans="1:13" x14ac:dyDescent="0.25">
      <c r="A24" s="1"/>
      <c r="B24" s="7">
        <v>18</v>
      </c>
      <c r="C24" s="7"/>
      <c r="D24" s="8"/>
      <c r="E24" s="8"/>
      <c r="F24" s="7"/>
      <c r="G24" s="7"/>
      <c r="H24" s="7"/>
      <c r="I24" s="7"/>
    </row>
    <row r="25" spans="1:13" x14ac:dyDescent="0.25">
      <c r="A25" s="1"/>
      <c r="B25" s="7">
        <v>19</v>
      </c>
      <c r="C25" s="7"/>
      <c r="D25" s="8"/>
      <c r="E25" s="8"/>
      <c r="F25" s="7"/>
      <c r="G25" s="7"/>
      <c r="H25" s="7"/>
      <c r="I25" s="7"/>
    </row>
    <row r="26" spans="1:13" x14ac:dyDescent="0.25">
      <c r="A26" s="1"/>
      <c r="B26" s="7">
        <v>20</v>
      </c>
      <c r="C26" s="7"/>
      <c r="D26" s="8"/>
      <c r="E26" s="8"/>
      <c r="F26" s="7"/>
      <c r="G26" s="7"/>
      <c r="H26" s="7"/>
      <c r="I26" s="7"/>
    </row>
    <row r="27" spans="1:13" x14ac:dyDescent="0.25">
      <c r="A27" s="1"/>
      <c r="B27" s="7">
        <v>21</v>
      </c>
      <c r="C27" s="7"/>
      <c r="D27" s="8"/>
      <c r="E27" s="8"/>
      <c r="F27" s="7"/>
      <c r="G27" s="7"/>
      <c r="H27" s="7"/>
      <c r="I27" s="7"/>
    </row>
    <row r="28" spans="1:13" x14ac:dyDescent="0.25">
      <c r="A28" s="1"/>
      <c r="B28" s="7">
        <v>22</v>
      </c>
      <c r="C28" s="7"/>
      <c r="D28" s="8"/>
      <c r="E28" s="8"/>
      <c r="F28" s="7"/>
      <c r="G28" s="7"/>
      <c r="H28" s="7"/>
      <c r="I28" s="7"/>
    </row>
    <row r="29" spans="1:13" x14ac:dyDescent="0.25">
      <c r="A29" s="1"/>
      <c r="B29" s="7">
        <v>23</v>
      </c>
      <c r="C29" s="7"/>
      <c r="D29" s="8"/>
      <c r="E29" s="8"/>
      <c r="F29" s="7"/>
      <c r="G29" s="7"/>
      <c r="H29" s="7"/>
      <c r="I29" s="7"/>
    </row>
    <row r="41" spans="2:9" ht="18.75" x14ac:dyDescent="0.3">
      <c r="B41" s="30"/>
      <c r="C41" s="30"/>
      <c r="D41" s="30"/>
      <c r="E41" s="30"/>
      <c r="F41" s="11"/>
      <c r="G41" s="11"/>
      <c r="H41" s="11"/>
      <c r="I41" s="11"/>
    </row>
    <row r="42" spans="2:9" x14ac:dyDescent="0.25">
      <c r="B42" s="11"/>
      <c r="C42" s="11"/>
      <c r="D42" s="11"/>
      <c r="E42" s="11"/>
      <c r="F42" s="11"/>
      <c r="G42" s="11"/>
      <c r="H42" s="11"/>
      <c r="I42" s="11"/>
    </row>
    <row r="43" spans="2:9" ht="18.75" x14ac:dyDescent="0.25">
      <c r="B43" s="12"/>
      <c r="C43" s="12"/>
      <c r="D43" s="12"/>
      <c r="E43" s="12"/>
      <c r="F43" s="12"/>
      <c r="G43" s="12"/>
      <c r="H43" s="12"/>
      <c r="I43" s="12"/>
    </row>
    <row r="44" spans="2:9" ht="18.75" x14ac:dyDescent="0.25">
      <c r="B44" s="12"/>
      <c r="C44" s="3" t="s">
        <v>0</v>
      </c>
      <c r="D44" s="4" t="s">
        <v>35</v>
      </c>
      <c r="E44" s="4" t="s">
        <v>36</v>
      </c>
      <c r="F44" s="2"/>
      <c r="G44" s="12"/>
      <c r="H44" s="12"/>
      <c r="I44" s="12"/>
    </row>
    <row r="45" spans="2:9" ht="18.75" x14ac:dyDescent="0.25">
      <c r="B45" s="12"/>
      <c r="C45" s="3"/>
      <c r="D45" s="4"/>
      <c r="E45" s="4"/>
      <c r="F45" s="2"/>
      <c r="G45" s="12"/>
      <c r="H45" s="12"/>
      <c r="I45" s="12"/>
    </row>
    <row r="46" spans="2:9" ht="18.75" x14ac:dyDescent="0.25">
      <c r="B46" s="12"/>
      <c r="C46" s="3"/>
      <c r="D46" s="4"/>
      <c r="E46" s="4"/>
      <c r="F46" s="2"/>
      <c r="G46" s="12"/>
      <c r="H46" s="12"/>
      <c r="I46" s="12"/>
    </row>
    <row r="47" spans="2:9" ht="18.75" x14ac:dyDescent="0.25">
      <c r="B47" s="12"/>
      <c r="C47" s="3"/>
      <c r="D47" s="4"/>
      <c r="E47" s="4"/>
      <c r="F47" s="2"/>
      <c r="G47" s="12"/>
      <c r="H47" s="12"/>
      <c r="I47" s="12"/>
    </row>
    <row r="48" spans="2:9" ht="18.75" x14ac:dyDescent="0.25">
      <c r="B48" s="12"/>
      <c r="C48" s="3"/>
      <c r="D48" s="4"/>
      <c r="E48" s="4"/>
      <c r="F48" s="2"/>
      <c r="G48" s="12"/>
      <c r="H48" s="12"/>
      <c r="I48" s="12"/>
    </row>
    <row r="49" spans="2:9" ht="18.75" x14ac:dyDescent="0.25">
      <c r="B49" s="12"/>
      <c r="C49" s="3"/>
      <c r="D49" s="4"/>
      <c r="E49" s="4"/>
      <c r="F49" s="2"/>
      <c r="G49" s="12"/>
      <c r="H49" s="12"/>
      <c r="I49" s="12"/>
    </row>
    <row r="50" spans="2:9" ht="18.75" x14ac:dyDescent="0.25">
      <c r="B50" s="12"/>
      <c r="C50" s="3"/>
      <c r="D50" s="4"/>
      <c r="E50" s="4"/>
      <c r="F50" s="2"/>
      <c r="G50" s="12"/>
      <c r="H50" s="12"/>
      <c r="I50" s="12"/>
    </row>
    <row r="51" spans="2:9" ht="18.75" x14ac:dyDescent="0.25">
      <c r="B51" s="12"/>
      <c r="C51" s="3"/>
      <c r="D51" s="4"/>
      <c r="E51" s="4"/>
      <c r="F51" s="2"/>
      <c r="G51" s="12"/>
      <c r="H51" s="12"/>
      <c r="I51" s="12"/>
    </row>
    <row r="52" spans="2:9" ht="18.75" x14ac:dyDescent="0.25">
      <c r="B52" s="12"/>
      <c r="C52" s="3"/>
      <c r="D52" s="4"/>
      <c r="E52" s="4"/>
      <c r="F52" s="2"/>
      <c r="G52" s="12"/>
      <c r="H52" s="12"/>
      <c r="I52" s="12"/>
    </row>
    <row r="53" spans="2:9" ht="18.75" x14ac:dyDescent="0.25">
      <c r="B53" s="12"/>
      <c r="C53" s="3"/>
      <c r="D53" s="4"/>
      <c r="E53" s="4"/>
      <c r="F53" s="2"/>
      <c r="G53" s="12"/>
      <c r="H53" s="12"/>
      <c r="I53" s="12"/>
    </row>
    <row r="54" spans="2:9" ht="18.75" x14ac:dyDescent="0.25">
      <c r="B54" s="12"/>
      <c r="C54" s="3"/>
      <c r="D54" s="4"/>
      <c r="E54" s="4"/>
      <c r="F54" s="2"/>
      <c r="G54" s="12"/>
      <c r="H54" s="12"/>
      <c r="I54" s="12"/>
    </row>
    <row r="55" spans="2:9" ht="18.75" x14ac:dyDescent="0.25">
      <c r="B55" s="12"/>
      <c r="C55" s="3"/>
      <c r="D55" s="4"/>
      <c r="E55" s="4"/>
      <c r="F55" s="2"/>
      <c r="G55" s="12"/>
      <c r="H55" s="12"/>
      <c r="I55" s="12"/>
    </row>
    <row r="56" spans="2:9" ht="18.75" x14ac:dyDescent="0.25">
      <c r="B56" s="12"/>
      <c r="C56" s="13"/>
      <c r="D56" s="14"/>
      <c r="E56" s="14"/>
      <c r="F56" s="12"/>
      <c r="G56" s="12"/>
      <c r="H56" s="12"/>
      <c r="I56" s="12"/>
    </row>
  </sheetData>
  <mergeCells count="2">
    <mergeCell ref="B1:I1"/>
    <mergeCell ref="B41:E41"/>
  </mergeCells>
  <pageMargins left="0.25" right="0.25" top="0.75" bottom="0.75" header="0.3" footer="0.3"/>
  <pageSetup paperSize="9" scale="94" orientation="landscape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5F01F-E20E-E546-8258-D7A9187E679B}">
  <dimension ref="A1:F8"/>
  <sheetViews>
    <sheetView workbookViewId="0">
      <selection activeCell="E10" sqref="E10"/>
    </sheetView>
  </sheetViews>
  <sheetFormatPr defaultColWidth="11" defaultRowHeight="15.75" x14ac:dyDescent="0.25"/>
  <cols>
    <col min="1" max="1" width="6.125" customWidth="1"/>
    <col min="2" max="2" width="16.125" customWidth="1"/>
    <col min="6" max="6" width="20.5" customWidth="1"/>
  </cols>
  <sheetData>
    <row r="1" spans="1:6" ht="24" customHeight="1" x14ac:dyDescent="0.35">
      <c r="A1" s="31" t="s">
        <v>44</v>
      </c>
      <c r="B1" s="31"/>
      <c r="C1" s="31"/>
      <c r="D1" s="31"/>
      <c r="E1" s="27"/>
      <c r="F1" s="27"/>
    </row>
    <row r="2" spans="1:6" ht="24" customHeight="1" thickBot="1" x14ac:dyDescent="0.4">
      <c r="A2" s="31"/>
      <c r="B2" s="31"/>
      <c r="C2" s="31"/>
      <c r="D2" s="31"/>
      <c r="E2" s="27"/>
      <c r="F2" s="27"/>
    </row>
    <row r="3" spans="1:6" ht="16.5" thickBot="1" x14ac:dyDescent="0.3">
      <c r="A3" s="25" t="s">
        <v>0</v>
      </c>
      <c r="B3" s="26" t="s">
        <v>45</v>
      </c>
      <c r="C3" s="26" t="s">
        <v>46</v>
      </c>
      <c r="D3" s="26" t="s">
        <v>47</v>
      </c>
    </row>
    <row r="4" spans="1:6" ht="16.5" thickBot="1" x14ac:dyDescent="0.3">
      <c r="A4" s="24">
        <v>1</v>
      </c>
      <c r="B4" s="24" t="s">
        <v>48</v>
      </c>
      <c r="C4" s="24">
        <v>4</v>
      </c>
      <c r="D4" s="24" t="s">
        <v>50</v>
      </c>
    </row>
    <row r="5" spans="1:6" ht="16.5" thickBot="1" x14ac:dyDescent="0.3">
      <c r="A5" s="24">
        <v>2</v>
      </c>
      <c r="B5" s="24" t="s">
        <v>48</v>
      </c>
      <c r="C5" s="24">
        <v>4</v>
      </c>
      <c r="D5" s="24" t="s">
        <v>51</v>
      </c>
    </row>
    <row r="6" spans="1:6" ht="16.5" thickBot="1" x14ac:dyDescent="0.3">
      <c r="A6" s="24">
        <v>3</v>
      </c>
      <c r="B6" s="24" t="s">
        <v>48</v>
      </c>
      <c r="C6" s="24">
        <v>4</v>
      </c>
      <c r="D6" s="24" t="s">
        <v>52</v>
      </c>
    </row>
    <row r="7" spans="1:6" ht="16.5" thickBot="1" x14ac:dyDescent="0.3">
      <c r="A7" s="24">
        <v>4</v>
      </c>
      <c r="B7" s="24" t="s">
        <v>48</v>
      </c>
      <c r="C7" s="24">
        <v>1</v>
      </c>
      <c r="D7" s="24" t="s">
        <v>53</v>
      </c>
    </row>
    <row r="8" spans="1:6" ht="16.5" thickBot="1" x14ac:dyDescent="0.3">
      <c r="A8" s="24"/>
      <c r="B8" s="24" t="s">
        <v>43</v>
      </c>
      <c r="C8" s="24"/>
      <c r="D8" s="24" t="s">
        <v>49</v>
      </c>
    </row>
  </sheetData>
  <mergeCells count="1">
    <mergeCell ref="A1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workbookViewId="0">
      <selection activeCell="F8" sqref="A1:F8"/>
    </sheetView>
  </sheetViews>
  <sheetFormatPr defaultColWidth="8.875" defaultRowHeight="15.75" x14ac:dyDescent="0.25"/>
  <cols>
    <col min="1" max="1" width="6.875" customWidth="1"/>
    <col min="2" max="2" width="31.375" customWidth="1"/>
    <col min="3" max="3" width="7.5" customWidth="1"/>
    <col min="5" max="5" width="9.875" bestFit="1" customWidth="1"/>
    <col min="6" max="6" width="12.125" customWidth="1"/>
  </cols>
  <sheetData>
    <row r="1" spans="1:6" x14ac:dyDescent="0.25">
      <c r="E1" s="23"/>
      <c r="F1" s="23">
        <v>44712</v>
      </c>
    </row>
    <row r="2" spans="1:6" x14ac:dyDescent="0.25">
      <c r="A2" s="32"/>
      <c r="B2" s="32"/>
      <c r="C2" s="32"/>
      <c r="D2" s="32"/>
      <c r="E2" s="32"/>
      <c r="F2" s="32"/>
    </row>
    <row r="3" spans="1:6" ht="18.75" x14ac:dyDescent="0.25">
      <c r="A3" s="3" t="s">
        <v>0</v>
      </c>
      <c r="B3" s="2" t="s">
        <v>35</v>
      </c>
      <c r="C3" s="2" t="s">
        <v>36</v>
      </c>
      <c r="D3" s="2" t="s">
        <v>37</v>
      </c>
      <c r="E3" s="2" t="s">
        <v>38</v>
      </c>
      <c r="F3" s="2" t="s">
        <v>39</v>
      </c>
    </row>
    <row r="4" spans="1:6" ht="18.75" x14ac:dyDescent="0.25">
      <c r="A4" s="19">
        <v>1</v>
      </c>
      <c r="B4" s="4" t="s">
        <v>40</v>
      </c>
      <c r="C4" s="2">
        <v>8</v>
      </c>
      <c r="D4" s="2" t="s">
        <v>9</v>
      </c>
      <c r="E4" s="7">
        <v>17.3</v>
      </c>
      <c r="F4" s="7">
        <f>C4*E4</f>
        <v>138.4</v>
      </c>
    </row>
    <row r="5" spans="1:6" ht="18.75" x14ac:dyDescent="0.25">
      <c r="A5" s="19">
        <v>2</v>
      </c>
      <c r="B5" s="4" t="s">
        <v>41</v>
      </c>
      <c r="C5" s="2">
        <v>2</v>
      </c>
      <c r="D5" s="2" t="s">
        <v>9</v>
      </c>
      <c r="E5" s="7">
        <v>20</v>
      </c>
      <c r="F5" s="7">
        <f t="shared" ref="F5:F7" si="0">C5*E5</f>
        <v>40</v>
      </c>
    </row>
    <row r="6" spans="1:6" ht="18.75" x14ac:dyDescent="0.25">
      <c r="A6" s="19">
        <v>3</v>
      </c>
      <c r="B6" s="4" t="s">
        <v>11</v>
      </c>
      <c r="C6" s="2">
        <v>8</v>
      </c>
      <c r="D6" s="2" t="s">
        <v>9</v>
      </c>
      <c r="E6" s="7">
        <v>7</v>
      </c>
      <c r="F6" s="7">
        <f t="shared" si="0"/>
        <v>56</v>
      </c>
    </row>
    <row r="7" spans="1:6" ht="18.75" x14ac:dyDescent="0.25">
      <c r="A7" s="19">
        <v>4</v>
      </c>
      <c r="B7" s="4" t="s">
        <v>42</v>
      </c>
      <c r="C7" s="2">
        <v>8</v>
      </c>
      <c r="D7" s="2" t="s">
        <v>9</v>
      </c>
      <c r="E7" s="7">
        <v>5</v>
      </c>
      <c r="F7" s="7">
        <f t="shared" si="0"/>
        <v>40</v>
      </c>
    </row>
    <row r="8" spans="1:6" ht="18.75" x14ac:dyDescent="0.25">
      <c r="A8" s="19"/>
      <c r="B8" s="20" t="s">
        <v>43</v>
      </c>
      <c r="C8" s="21"/>
      <c r="D8" s="21"/>
      <c r="E8" s="22"/>
      <c r="F8" s="22">
        <f>SUM(F4:F7)</f>
        <v>274.39999999999998</v>
      </c>
    </row>
  </sheetData>
  <mergeCells count="1">
    <mergeCell ref="A2:F2"/>
  </mergeCells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H17"/>
  <sheetViews>
    <sheetView workbookViewId="0">
      <selection activeCell="J17" sqref="J17"/>
    </sheetView>
  </sheetViews>
  <sheetFormatPr defaultColWidth="11" defaultRowHeight="15.75" x14ac:dyDescent="0.25"/>
  <cols>
    <col min="2" max="2" width="13.375" customWidth="1"/>
    <col min="4" max="4" width="41.375" customWidth="1"/>
  </cols>
  <sheetData>
    <row r="2" spans="1:8" ht="18.75" x14ac:dyDescent="0.3">
      <c r="A2" s="33" t="s">
        <v>31</v>
      </c>
      <c r="B2" s="33"/>
      <c r="C2" s="33"/>
      <c r="D2" s="33"/>
    </row>
    <row r="4" spans="1:8" ht="18.75" x14ac:dyDescent="0.25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32</v>
      </c>
      <c r="G4" s="2" t="s">
        <v>6</v>
      </c>
      <c r="H4" s="2" t="s">
        <v>7</v>
      </c>
    </row>
    <row r="5" spans="1:8" ht="18.75" x14ac:dyDescent="0.25">
      <c r="A5" s="2">
        <v>1</v>
      </c>
      <c r="B5" s="3">
        <v>44672</v>
      </c>
      <c r="C5" s="4" t="s">
        <v>8</v>
      </c>
      <c r="D5" s="4" t="s">
        <v>26</v>
      </c>
      <c r="E5" s="2" t="s">
        <v>9</v>
      </c>
      <c r="F5" s="2">
        <v>28</v>
      </c>
      <c r="G5" s="2">
        <v>28</v>
      </c>
      <c r="H5" s="2">
        <f>F5-G5</f>
        <v>0</v>
      </c>
    </row>
    <row r="6" spans="1:8" ht="18.75" x14ac:dyDescent="0.25">
      <c r="A6" s="2">
        <v>2</v>
      </c>
      <c r="B6" s="3">
        <v>44672</v>
      </c>
      <c r="C6" s="4" t="s">
        <v>8</v>
      </c>
      <c r="D6" s="4" t="s">
        <v>27</v>
      </c>
      <c r="E6" s="2" t="s">
        <v>9</v>
      </c>
      <c r="F6" s="2">
        <v>12</v>
      </c>
      <c r="G6" s="2">
        <v>-3</v>
      </c>
      <c r="H6" s="2">
        <f>F6-G6</f>
        <v>15</v>
      </c>
    </row>
    <row r="7" spans="1:8" ht="18.75" x14ac:dyDescent="0.25">
      <c r="A7" s="2">
        <v>3</v>
      </c>
      <c r="B7" s="3">
        <v>44672</v>
      </c>
      <c r="C7" s="4" t="s">
        <v>8</v>
      </c>
      <c r="D7" s="4" t="s">
        <v>28</v>
      </c>
      <c r="E7" s="2" t="s">
        <v>9</v>
      </c>
      <c r="F7" s="2">
        <v>40</v>
      </c>
      <c r="G7" s="2">
        <v>25</v>
      </c>
      <c r="H7" s="2">
        <f>F7-G7</f>
        <v>15</v>
      </c>
    </row>
    <row r="8" spans="1:8" ht="18.75" x14ac:dyDescent="0.25">
      <c r="A8" s="2">
        <v>4</v>
      </c>
      <c r="B8" s="3">
        <v>44672</v>
      </c>
      <c r="C8" s="4" t="s">
        <v>8</v>
      </c>
      <c r="D8" s="4" t="s">
        <v>15</v>
      </c>
      <c r="E8" s="2" t="s">
        <v>9</v>
      </c>
      <c r="F8" s="2">
        <v>40</v>
      </c>
      <c r="G8" s="2">
        <v>24</v>
      </c>
      <c r="H8" s="2">
        <f t="shared" ref="H8:H17" si="0">F8-G8</f>
        <v>16</v>
      </c>
    </row>
    <row r="9" spans="1:8" ht="18.75" x14ac:dyDescent="0.25">
      <c r="A9" s="2">
        <v>5</v>
      </c>
      <c r="B9" s="3">
        <v>44672</v>
      </c>
      <c r="C9" s="4" t="s">
        <v>8</v>
      </c>
      <c r="D9" s="4" t="s">
        <v>11</v>
      </c>
      <c r="E9" s="2" t="s">
        <v>9</v>
      </c>
      <c r="F9" s="2">
        <v>40</v>
      </c>
      <c r="G9" s="2">
        <v>28</v>
      </c>
      <c r="H9" s="2">
        <f t="shared" si="0"/>
        <v>12</v>
      </c>
    </row>
    <row r="10" spans="1:8" ht="18.75" x14ac:dyDescent="0.25">
      <c r="A10" s="2">
        <v>6</v>
      </c>
      <c r="B10" s="3">
        <v>44672</v>
      </c>
      <c r="C10" s="4" t="s">
        <v>12</v>
      </c>
      <c r="D10" s="4" t="s">
        <v>21</v>
      </c>
      <c r="E10" s="2" t="s">
        <v>9</v>
      </c>
      <c r="F10" s="2">
        <v>10</v>
      </c>
      <c r="G10" s="2">
        <v>4</v>
      </c>
      <c r="H10" s="2">
        <f t="shared" si="0"/>
        <v>6</v>
      </c>
    </row>
    <row r="11" spans="1:8" ht="18.75" x14ac:dyDescent="0.25">
      <c r="A11" s="2">
        <v>7</v>
      </c>
      <c r="B11" s="3">
        <v>44672</v>
      </c>
      <c r="C11" s="4" t="s">
        <v>12</v>
      </c>
      <c r="D11" s="4" t="s">
        <v>16</v>
      </c>
      <c r="E11" s="2" t="s">
        <v>9</v>
      </c>
      <c r="F11" s="2">
        <v>87</v>
      </c>
      <c r="G11" s="2">
        <v>37</v>
      </c>
      <c r="H11" s="2">
        <f t="shared" si="0"/>
        <v>50</v>
      </c>
    </row>
    <row r="12" spans="1:8" ht="18.75" x14ac:dyDescent="0.25">
      <c r="A12" s="2">
        <v>8</v>
      </c>
      <c r="B12" s="3">
        <v>44672</v>
      </c>
      <c r="C12" s="4" t="s">
        <v>12</v>
      </c>
      <c r="D12" s="4" t="s">
        <v>17</v>
      </c>
      <c r="E12" s="2" t="s">
        <v>9</v>
      </c>
      <c r="F12" s="2">
        <v>39</v>
      </c>
      <c r="G12" s="2">
        <v>39</v>
      </c>
      <c r="H12" s="2">
        <f t="shared" si="0"/>
        <v>0</v>
      </c>
    </row>
    <row r="13" spans="1:8" ht="18.75" x14ac:dyDescent="0.25">
      <c r="A13" s="2">
        <v>9</v>
      </c>
      <c r="B13" s="3">
        <v>44672</v>
      </c>
      <c r="C13" s="4" t="s">
        <v>12</v>
      </c>
      <c r="D13" s="4" t="s">
        <v>18</v>
      </c>
      <c r="E13" s="2" t="s">
        <v>9</v>
      </c>
      <c r="F13" s="2">
        <v>207</v>
      </c>
      <c r="G13" s="2">
        <v>157</v>
      </c>
      <c r="H13" s="2">
        <f t="shared" si="0"/>
        <v>50</v>
      </c>
    </row>
    <row r="14" spans="1:8" ht="18.75" x14ac:dyDescent="0.25">
      <c r="A14" s="2">
        <v>10</v>
      </c>
      <c r="B14" s="3">
        <v>44672</v>
      </c>
      <c r="C14" s="4" t="s">
        <v>12</v>
      </c>
      <c r="D14" s="4" t="s">
        <v>19</v>
      </c>
      <c r="E14" s="2" t="s">
        <v>9</v>
      </c>
      <c r="F14" s="2">
        <v>39</v>
      </c>
      <c r="G14" s="2">
        <v>39</v>
      </c>
      <c r="H14" s="2">
        <f t="shared" si="0"/>
        <v>0</v>
      </c>
    </row>
    <row r="15" spans="1:8" ht="18.75" x14ac:dyDescent="0.25">
      <c r="A15" s="2">
        <v>11</v>
      </c>
      <c r="B15" s="3">
        <v>44672</v>
      </c>
      <c r="C15" s="4" t="s">
        <v>12</v>
      </c>
      <c r="D15" s="4" t="s">
        <v>20</v>
      </c>
      <c r="E15" s="2" t="s">
        <v>9</v>
      </c>
      <c r="F15" s="2">
        <v>39</v>
      </c>
      <c r="G15" s="2">
        <v>39</v>
      </c>
      <c r="H15" s="2">
        <f t="shared" si="0"/>
        <v>0</v>
      </c>
    </row>
    <row r="16" spans="1:8" ht="18.75" x14ac:dyDescent="0.25">
      <c r="A16" s="2">
        <v>12</v>
      </c>
      <c r="B16" s="3">
        <v>44699</v>
      </c>
      <c r="C16" s="4" t="s">
        <v>24</v>
      </c>
      <c r="D16" s="4" t="s">
        <v>23</v>
      </c>
      <c r="E16" s="2" t="s">
        <v>14</v>
      </c>
      <c r="F16" s="2">
        <v>500</v>
      </c>
      <c r="G16" s="2"/>
      <c r="H16" s="2">
        <f t="shared" si="0"/>
        <v>500</v>
      </c>
    </row>
    <row r="17" spans="1:8" ht="18.75" x14ac:dyDescent="0.25">
      <c r="A17" s="2">
        <v>13</v>
      </c>
      <c r="B17" s="3">
        <v>44672</v>
      </c>
      <c r="C17" s="4" t="s">
        <v>24</v>
      </c>
      <c r="D17" s="4" t="s">
        <v>25</v>
      </c>
      <c r="E17" s="2" t="s">
        <v>9</v>
      </c>
      <c r="F17" s="2">
        <v>4</v>
      </c>
      <c r="G17" s="2"/>
      <c r="H17" s="2">
        <f t="shared" si="0"/>
        <v>4</v>
      </c>
    </row>
  </sheetData>
  <mergeCells count="1">
    <mergeCell ref="A2:D2"/>
  </mergeCells>
  <pageMargins left="0.7" right="0.7" top="0.75" bottom="0.75" header="0.3" footer="0.3"/>
  <pageSetup paperSize="9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5</vt:i4>
      </vt:variant>
    </vt:vector>
  </HeadingPairs>
  <TitlesOfParts>
    <vt:vector size="5" baseType="lpstr">
      <vt:lpstr>Лист1 (2)</vt:lpstr>
      <vt:lpstr>Лист1</vt:lpstr>
      <vt:lpstr>Лист2</vt:lpstr>
      <vt:lpstr>Продано 31.05</vt:lpstr>
      <vt:lpstr>Солопа Олександр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solar</cp:lastModifiedBy>
  <cp:lastPrinted>2022-05-31T10:49:52Z</cp:lastPrinted>
  <dcterms:created xsi:type="dcterms:W3CDTF">2022-04-21T07:08:07Z</dcterms:created>
  <dcterms:modified xsi:type="dcterms:W3CDTF">2022-07-18T10:42:17Z</dcterms:modified>
</cp:coreProperties>
</file>